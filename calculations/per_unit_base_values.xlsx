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Unit Base Val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<sst xmlns="http://schemas.openxmlformats.org/spreadsheetml/2006/main" count="16" uniqueCount="16">
  <si>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Voltage Level</t>
  </si>
  <si>
    <t xml:space="preserve">Vbase (kV)</t>
  </si>
  <si>
    <t xml:space="preserve">Sbase (MVA)</t>
  </si>
  <si>
    <t xml:space="preserve">Zbase (Ω)</t>
  </si>
  <si>
    <t xml:space="preserve">Ibase (A)</t>
  </si>
  <si>
    <t xml:space="preserve">Notes</t>
  </si>
  <si>
    <t xml:space="preserve">Utility</t>
  </si>
  <si>
    <t xml:space="preserve">Substation incoming, 5000 MVA fault level</t>
  </si>
  <si>
    <t xml:space="preserve">Substation Bus</t>
  </si>
  <si>
    <t xml:space="preserve">T1 secondary, also feeder source side</t>
  </si>
  <si>
    <t xml:space="preserve">Feeder Bridge</t>
  </si>
  <si>
    <t xml:space="preserve">IEEE 13-bus nominal voltage, bridge transformer secondary</t>
  </si>
  <si>
    <t xml:space="preserve">MCC Utilization</t>
  </si>
  <si>
    <t xml:space="preserve">Substation 480V distribution</t>
  </si>
  <si>
    <t xml:space="preserve">Lighting/Office</t>
  </si>
  <si>
    <t xml:space="preserve">Substation 208V distribution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</si>
</sst>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69</v>
      </c>
      <c r="C2" s="3" t="n">
        <v>10</v>
      </c>
      <c r="D2" s="4" t="n">
        <f aca="false">B2^2/C2</f>
        <v>476.1</v>
      </c>
      <c r="E2" s="5" t="n">
        <f aca="false">C2*1000/(SQRT(3)*B2)</f>
        <v>83.6739520564675</v>
      </c>
      <c r="F2" s="6" t="s">
        <v>7</v>
      </c>
    </row>
    <row r="3" customFormat="false" ht="15" hidden="false" customHeight="false" outlineLevel="0" collapsed="false">
      <c r="A3" s="2" t="s">
        <v>8</v>
      </c>
      <c r="B3" s="3" t="n">
        <v>13.8</v>
      </c>
      <c r="C3" s="3" t="n">
        <v>10</v>
      </c>
      <c r="D3" s="4" t="n">
        <f aca="false">B3^2/C3</f>
        <v>19.044</v>
      </c>
      <c r="E3" s="5" t="n">
        <f aca="false">C3*1000/(SQRT(3)*B3)</f>
        <v>418.369760282338</v>
      </c>
      <c r="F3" s="6" t="s">
        <v>9</v>
      </c>
    </row>
    <row r="4" customFormat="false" ht="15" hidden="false" customHeight="false" outlineLevel="0" collapsed="false">
      <c r="A4" s="7" t="s">
        <v>10</v>
      </c>
      <c r="B4" s="8" t="n">
        <v>4.16</v>
      </c>
      <c r="C4" s="8" t="n">
        <v>10</v>
      </c>
      <c r="D4" s="9" t="n">
        <f aca="false">B4^2/C4</f>
        <v>1.73056</v>
      </c>
      <c r="E4" s="10" t="n">
        <f aca="false">C4*1000/(SQRT(3)*B4)</f>
        <v>1387.86122401352</v>
      </c>
      <c r="F4" s="11" t="s">
        <v>11</v>
      </c>
    </row>
    <row r="5" customFormat="false" ht="15" hidden="false" customHeight="false" outlineLevel="0" collapsed="false">
      <c r="A5" s="2" t="s">
        <v>12</v>
      </c>
      <c r="B5" s="3" t="n">
        <v>0.48</v>
      </c>
      <c r="C5" s="3" t="n">
        <v>10</v>
      </c>
      <c r="D5" s="4" t="n">
        <f aca="false">B5^2/C5</f>
        <v>0.02304</v>
      </c>
      <c r="E5" s="5" t="n">
        <f aca="false">C5*1000/(SQRT(3)*B5)</f>
        <v>12028.1306081172</v>
      </c>
      <c r="F5" s="6" t="s">
        <v>13</v>
      </c>
    </row>
    <row r="6" customFormat="false" ht="15" hidden="false" customHeight="false" outlineLevel="0" collapsed="false">
      <c r="A6" s="2" t="s">
        <v>14</v>
      </c>
      <c r="B6" s="3" t="n">
        <v>0.208</v>
      </c>
      <c r="C6" s="3" t="n">
        <v>10</v>
      </c>
      <c r="D6" s="4" t="n">
        <f aca="false">B6^2/C6</f>
        <v>0.0043264</v>
      </c>
      <c r="E6" s="5" t="n">
        <f aca="false">C6*1000/(SQRT(3)*B6)</f>
        <v>27757.2244802705</v>
      </c>
      <c r="F6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2026-06-17T07:42:18Z</dcterms:created>
  <dc:creator>openpyxl</dc:creator>
  <dc:description/>
  <dc:language>en-US</dc:language>
  <cp:lastModifiedBy/>
  <dcterms:modified xsi:type="dcterms:W3CDTF">2026-06-17T07:42:18Z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