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Unit Base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2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Voltage Level</t>
        </is>
      </c>
      <c r="B1" s="1" t="inlineStr">
        <is>
          <t>Vbase (kV)</t>
        </is>
      </c>
      <c r="C1" s="1" t="inlineStr">
        <is>
          <t>Sbase (MVA)</t>
        </is>
      </c>
      <c r="D1" s="1" t="inlineStr">
        <is>
          <t>Zbase (Ω)</t>
        </is>
      </c>
      <c r="E1" s="1" t="inlineStr">
        <is>
          <t>Ibase (A)</t>
        </is>
      </c>
      <c r="F1" s="1" t="inlineStr">
        <is>
          <t>Notes</t>
        </is>
      </c>
    </row>
    <row r="2">
      <c r="A2" s="2" t="inlineStr">
        <is>
          <t>Utility</t>
        </is>
      </c>
      <c r="B2" s="3" t="n">
        <v>69</v>
      </c>
      <c r="C2" s="3" t="n">
        <v>10</v>
      </c>
      <c r="D2" s="4">
        <f>B2^2/C2</f>
        <v/>
      </c>
      <c r="E2" s="5">
        <f>C2*1000/(SQRT(3)*B2)</f>
        <v/>
      </c>
      <c r="F2" s="6" t="inlineStr">
        <is>
          <t>Substation incoming, 5000 MVA fault level</t>
        </is>
      </c>
    </row>
    <row r="3">
      <c r="A3" s="2" t="inlineStr">
        <is>
          <t>Substation Bus</t>
        </is>
      </c>
      <c r="B3" s="3" t="n">
        <v>13.8</v>
      </c>
      <c r="C3" s="3" t="n">
        <v>10</v>
      </c>
      <c r="D3" s="4">
        <f>B3^2/C3</f>
        <v/>
      </c>
      <c r="E3" s="5">
        <f>C3*1000/(SQRT(3)*B3)</f>
        <v/>
      </c>
      <c r="F3" s="6" t="inlineStr">
        <is>
          <t>T1 secondary, also feeder source side</t>
        </is>
      </c>
    </row>
    <row r="4">
      <c r="A4" s="7" t="inlineStr">
        <is>
          <t>Feeder Bridge</t>
        </is>
      </c>
      <c r="B4" s="8" t="n">
        <v>4.16</v>
      </c>
      <c r="C4" s="8" t="n">
        <v>10</v>
      </c>
      <c r="D4" s="9">
        <f>B4^2/C4</f>
        <v/>
      </c>
      <c r="E4" s="10">
        <f>C4*1000/(SQRT(3)*B4)</f>
        <v/>
      </c>
      <c r="F4" s="11" t="inlineStr">
        <is>
          <t>IEEE 13-bus nominal voltage, bridge transformer secondary</t>
        </is>
      </c>
    </row>
    <row r="5">
      <c r="A5" s="2" t="inlineStr">
        <is>
          <t>MCC Utilization</t>
        </is>
      </c>
      <c r="B5" s="3" t="n">
        <v>0.48</v>
      </c>
      <c r="C5" s="3" t="n">
        <v>10</v>
      </c>
      <c r="D5" s="4">
        <f>B5^2/C5</f>
        <v/>
      </c>
      <c r="E5" s="5">
        <f>C5*1000/(SQRT(3)*B5)</f>
        <v/>
      </c>
      <c r="F5" s="6" t="inlineStr">
        <is>
          <t>Substation 480V distribution</t>
        </is>
      </c>
    </row>
    <row r="6">
      <c r="A6" s="2" t="inlineStr">
        <is>
          <t>Lighting/Office</t>
        </is>
      </c>
      <c r="B6" s="3" t="n">
        <v>0.208</v>
      </c>
      <c r="C6" s="3" t="n">
        <v>10</v>
      </c>
      <c r="D6" s="4">
        <f>B6^2/C6</f>
        <v/>
      </c>
      <c r="E6" s="5">
        <f>C6*1000/(SQRT(3)*B6)</f>
        <v/>
      </c>
      <c r="F6" s="6" t="inlineStr">
        <is>
          <t>Substation 208V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2026-06-17T20:24:30Z</dcterms:created>
  <dcterms:modified xsi:type="dcterms:W3CDTF">2026-06-17T20:24:30Z</dcterms:modified>
</cp:coreProperties>
</file>